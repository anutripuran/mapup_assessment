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561bc31df7ab152/Desktop - Copy/"/>
    </mc:Choice>
  </mc:AlternateContent>
  <xr:revisionPtr revIDLastSave="0" documentId="8_{BD175C99-4422-4B19-BAEF-9488BE5B126C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Dataset!$A$1:$Y$40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D22" i="19"/>
  <c r="D12" i="19"/>
  <c r="D13" i="19"/>
  <c r="D14" i="19"/>
  <c r="D15" i="19"/>
  <c r="D16" i="19"/>
  <c r="D17" i="19"/>
  <c r="D18" i="19"/>
  <c r="D19" i="19"/>
  <c r="D20" i="19"/>
  <c r="D21" i="19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B7" i="18"/>
  <c r="C7" i="18"/>
  <c r="D7" i="18"/>
  <c r="E7" i="18"/>
  <c r="F7" i="18"/>
  <c r="B8" i="18"/>
  <c r="C8" i="18"/>
  <c r="D8" i="18"/>
  <c r="E8" i="18"/>
  <c r="F8" i="18"/>
  <c r="B9" i="18"/>
  <c r="C9" i="18"/>
  <c r="D9" i="18"/>
  <c r="E9" i="18"/>
  <c r="F9" i="18"/>
  <c r="B10" i="18"/>
  <c r="C10" i="18"/>
  <c r="D10" i="18"/>
  <c r="E10" i="18"/>
  <c r="F10" i="18"/>
  <c r="B11" i="18"/>
  <c r="C11" i="18"/>
  <c r="D11" i="18"/>
  <c r="E11" i="18"/>
  <c r="F11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16" i="18"/>
  <c r="C16" i="18"/>
  <c r="D16" i="18"/>
  <c r="E16" i="18"/>
  <c r="F16" i="18"/>
  <c r="B17" i="18"/>
  <c r="C17" i="18"/>
  <c r="D17" i="18"/>
  <c r="E17" i="18"/>
  <c r="F17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23" i="18"/>
  <c r="C23" i="18"/>
  <c r="D23" i="18"/>
  <c r="E23" i="18"/>
  <c r="F23" i="18"/>
  <c r="B24" i="18"/>
  <c r="C24" i="18"/>
  <c r="D24" i="18"/>
  <c r="E24" i="18"/>
  <c r="F24" i="18"/>
  <c r="B25" i="18"/>
  <c r="C25" i="18"/>
  <c r="D25" i="18"/>
  <c r="E25" i="18"/>
  <c r="F25" i="18"/>
  <c r="B26" i="18"/>
  <c r="C26" i="18"/>
  <c r="D26" i="18"/>
  <c r="E26" i="18"/>
  <c r="F26" i="18"/>
  <c r="B27" i="18"/>
  <c r="C27" i="18"/>
  <c r="D27" i="18"/>
  <c r="E27" i="18"/>
  <c r="F27" i="18"/>
  <c r="C6" i="18"/>
  <c r="D6" i="18"/>
  <c r="E6" i="18"/>
  <c r="F6" i="18"/>
  <c r="B6" i="18"/>
</calcChain>
</file>

<file path=xl/sharedStrings.xml><?xml version="1.0" encoding="utf-8"?>
<sst xmlns="http://schemas.openxmlformats.org/spreadsheetml/2006/main" count="411" uniqueCount="186">
  <si>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</si>
  <si>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</si>
  <si>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</si>
  <si>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</si>
  <si>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</si>
  <si>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</si>
  <si>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</si>
  <si>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</si>
  <si>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</si>
  <si>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</si>
  <si>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</si>
  <si>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</si>
  <si>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</si>
  <si>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</si>
  <si>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</si>
  <si>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</si>
  <si>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</si>
  <si>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</si>
  <si>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</si>
  <si>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</si>
  <si>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</si>
  <si>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</si>
  <si>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</si>
  <si>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</si>
  <si>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</si>
  <si>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</si>
  <si>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</si>
  <si>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</si>
  <si>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</si>
  <si>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</si>
  <si>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</si>
  <si>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</si>
  <si>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</si>
  <si>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</si>
  <si>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</si>
  <si>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</si>
  <si>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</si>
  <si>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</si>
  <si>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</si>
  <si>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</si>
  <si>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</si>
  <si>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</si>
  <si>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</si>
  <si>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</si>
  <si>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</si>
  <si>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</si>
  <si>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</si>
  <si>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</si>
  <si>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</si>
  <si>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</si>
  <si>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</si>
  <si>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</si>
  <si>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</si>
  <si>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</si>
  <si>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</si>
  <si>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</si>
  <si>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</si>
  <si>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</si>
  <si>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</si>
  <si>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</si>
  <si>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</si>
  <si>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</si>
  <si>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</si>
  <si>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</si>
  <si>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</si>
  <si>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</si>
  <si>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</si>
  <si>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</si>
  <si>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</si>
  <si>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</si>
  <si>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</si>
  <si>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</si>
  <si>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</si>
  <si>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</si>
  <si>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</si>
  <si>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</si>
  <si>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</si>
  <si>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</si>
  <si>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</si>
  <si>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</si>
  <si>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</si>
  <si>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</si>
  <si>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</si>
  <si>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</si>
  <si>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</si>
  <si>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</si>
  <si>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</si>
  <si>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</si>
  <si>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</si>
  <si>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</si>
  <si>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</si>
  <si>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</si>
  <si>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</si>
  <si>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</si>
  <si>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</si>
  <si>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</si>
  <si>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</si>
  <si>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</si>
  <si>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</si>
  <si>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</si>
  <si>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</si>
  <si>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</si>
  <si>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</si>
  <si>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</si>
  <si>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</si>
  <si>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</si>
  <si>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</si>
  <si>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</si>
  <si>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</si>
  <si>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</si>
  <si>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</si>
  <si>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</si>
  <si>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</si>
  <si>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</si>
  <si>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</si>
  <si>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</si>
  <si>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</si>
  <si>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</si>
  <si>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</si>
  <si>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</si>
  <si>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</si>
  <si>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</si>
  <si>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</si>
  <si>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</si>
  <si>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</si>
  <si>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</si>
  <si>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</si>
  <si>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</si>
  <si>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</si>
  <si>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</si>
  <si>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</si>
  <si>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</si>
  <si>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</si>
  <si>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</si>
  <si>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</si>
  <si>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</si>
  <si>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</si>
  <si>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</si>
  <si>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</si>
  <si>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</si>
  <si>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</si>
  <si>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</si>
  <si>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</si>
  <si>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</si>
  <si>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</si>
  <si>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</si>
  <si>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</si>
  <si>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</si>
  <si>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</si>
  <si>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</si>
  <si>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</si>
  <si>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</si>
  <si>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</si>
  <si>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</si>
  <si>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</si>
  <si>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</si>
  <si>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</si>
  <si>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</si>
  <si>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</si>
  <si>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</si>
  <si>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</si>
  <si>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</si>
  <si>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</si>
  <si>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</si>
  <si>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</si>
  <si>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</si>
  <si>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</si>
  <si>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</si>
  <si>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</si>
  <si>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</si>
  <si>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</si>
  <si>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</si>
  <si>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</si>
  <si>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</si>
  <si>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</si>
  <si>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</si>
  <si>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</si>
  <si>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</si>
  <si>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sumif(H:H),"&gt;20")</t>
  </si>
  <si>
    <t xml:space="preserve"> TEXT TO COLUMN, WITH DELIMITER, OTHERS(-) AS OPTION AND FINISH</t>
  </si>
  <si>
    <t>IFERROR(C12,20)</t>
  </si>
  <si>
    <t>SUM(D12:D21)</t>
  </si>
  <si>
    <t>IFERROR FORMULA USED FOR REPLACE THE ERROR ERROR VALUE WITH 20 AND THEN COUNT SUM FUNCTION TO COUNT SUM OF ALL VALUES</t>
  </si>
  <si>
    <t>INDEX($A$9:$J$18,MATCH(VLOOKUP($A23,$M$9:$N$18,2,0),$A$9:$A$18,0),MATCH(VLOOKUP($B23,$M$9:$N$18,2,0),$A$9:$J$9,0))</t>
  </si>
  <si>
    <t>INDEX function is used to return the value of a cell in a specified row and column of a given range.</t>
  </si>
  <si>
    <t>VLOOKUP with MATCH function is used to find ROWNUM and COLUMN NUM that is again used in index function to find exact match value.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</si>
</sst>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3" fillId="0" borderId="0" xfId="0" applyNumberFormat="1" applyFont="1"/>
    <xf numFmtId="166" fontId="7" fillId="5" borderId="0" xfId="0" applyNumberFormat="1" applyFont="1" applyFill="1"/>
    <xf numFmtId="166" fontId="3" fillId="5" borderId="0" xfId="0" applyNumberFormat="1" applyFont="1" applyFill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8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5" t="s">
        <v>172</v>
      </c>
      <c r="B9" s="25" t="s">
        <v>170</v>
      </c>
    </row>
    <row r="10" spans="1:3" x14ac:dyDescent="0.3">
      <c r="A10" s="34" t="s">
        <v>173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171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D40"/>
  <sheetViews>
    <sheetView topLeftCell="B1" zoomScale="60" zoomScaleNormal="100" workbookViewId="0">
      <pane ySplit="1" topLeftCell="A2" activePane="bottomLeft" state="frozen"/>
      <selection pane="bottomLeft" activeCell="G9" sqref="G9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25" width="12.5546875" style="46" bestFit="1" customWidth="1"/>
    <col min="26" max="29" width="9" style="1"/>
    <col min="30" max="30" width="11.21875" style="1" customWidth="1"/>
    <col min="31" max="16384" width="9" style="1"/>
  </cols>
  <sheetData>
    <row r="1" spans="1:25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106</v>
      </c>
      <c r="Y1" s="45" t="s">
        <v>106</v>
      </c>
    </row>
    <row r="2" spans="1:25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6">
        <v>45051</v>
      </c>
      <c r="Y2" s="46">
        <v>45051</v>
      </c>
    </row>
    <row r="3" spans="1:25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6">
        <v>45048</v>
      </c>
      <c r="Y3" s="46">
        <v>45048</v>
      </c>
    </row>
    <row r="4" spans="1:25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6">
        <v>45055</v>
      </c>
      <c r="Y4" s="46">
        <v>45055</v>
      </c>
    </row>
    <row r="5" spans="1:25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6">
        <v>45059</v>
      </c>
      <c r="Y5" s="46">
        <v>45059</v>
      </c>
    </row>
    <row r="6" spans="1:25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6">
        <v>45076</v>
      </c>
      <c r="Y6" s="46">
        <v>45076</v>
      </c>
    </row>
    <row r="7" spans="1:25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6">
        <v>45057</v>
      </c>
      <c r="Y7" s="46">
        <v>45057</v>
      </c>
    </row>
    <row r="8" spans="1:25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6">
        <v>45052</v>
      </c>
      <c r="Y8" s="46">
        <v>45052</v>
      </c>
    </row>
    <row r="9" spans="1:25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6">
        <v>45098</v>
      </c>
      <c r="Y9" s="46">
        <v>45098</v>
      </c>
    </row>
    <row r="10" spans="1:25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6">
        <v>45092</v>
      </c>
      <c r="Y10" s="46">
        <v>45092</v>
      </c>
    </row>
    <row r="11" spans="1:25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6">
        <v>45104</v>
      </c>
      <c r="Y11" s="46">
        <v>45104</v>
      </c>
    </row>
    <row r="12" spans="1:25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6">
        <v>45116</v>
      </c>
      <c r="Y12" s="46">
        <v>45116</v>
      </c>
    </row>
    <row r="13" spans="1:25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6">
        <v>45110</v>
      </c>
      <c r="Y13" s="46">
        <v>45110</v>
      </c>
    </row>
    <row r="14" spans="1:25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6">
        <v>45095</v>
      </c>
      <c r="Y14" s="46">
        <v>45095</v>
      </c>
    </row>
    <row r="15" spans="1:25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6">
        <v>45113</v>
      </c>
      <c r="Y15" s="46">
        <v>45113</v>
      </c>
    </row>
    <row r="16" spans="1:25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6">
        <v>45063</v>
      </c>
      <c r="Y16" s="46">
        <v>45063</v>
      </c>
    </row>
    <row r="17" spans="1:30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6">
        <v>45071</v>
      </c>
      <c r="Y17" s="46">
        <v>45071</v>
      </c>
    </row>
    <row r="18" spans="1:30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6">
        <v>45085</v>
      </c>
      <c r="Y18" s="46">
        <v>45085</v>
      </c>
    </row>
    <row r="19" spans="1:30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6">
        <v>45099</v>
      </c>
      <c r="Y19" s="46">
        <v>45099</v>
      </c>
    </row>
    <row r="20" spans="1:30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6">
        <v>45091</v>
      </c>
      <c r="Y20" s="46">
        <v>45091</v>
      </c>
    </row>
    <row r="21" spans="1:30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6">
        <v>45079</v>
      </c>
      <c r="Y21" s="46">
        <v>45079</v>
      </c>
    </row>
    <row r="22" spans="1:30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6">
        <v>45075</v>
      </c>
      <c r="Y22" s="46">
        <v>45075</v>
      </c>
    </row>
    <row r="23" spans="1:30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6">
        <v>45110</v>
      </c>
      <c r="Y23" s="46">
        <v>45110</v>
      </c>
      <c r="AD23" s="44"/>
    </row>
    <row r="24" spans="1:30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6">
        <v>45114</v>
      </c>
      <c r="Y24" s="46">
        <v>45114</v>
      </c>
    </row>
    <row r="25" spans="1:30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6">
        <v>45118</v>
      </c>
      <c r="Y25" s="46">
        <v>45118</v>
      </c>
    </row>
    <row r="26" spans="1:30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6">
        <v>45142</v>
      </c>
      <c r="Y26" s="46">
        <v>45142</v>
      </c>
    </row>
    <row r="27" spans="1:30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6">
        <v>45146</v>
      </c>
      <c r="Y27" s="46">
        <v>45146</v>
      </c>
    </row>
    <row r="28" spans="1:30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6">
        <v>45108</v>
      </c>
      <c r="Y28" s="46">
        <v>45108</v>
      </c>
    </row>
    <row r="29" spans="1:30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6">
        <v>45153</v>
      </c>
      <c r="Y29" s="46">
        <v>45153</v>
      </c>
    </row>
    <row r="30" spans="1:30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6">
        <v>45150</v>
      </c>
      <c r="Y30" s="46">
        <v>45150</v>
      </c>
    </row>
    <row r="31" spans="1:30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6">
        <v>45157</v>
      </c>
      <c r="Y31" s="46">
        <v>45157</v>
      </c>
    </row>
    <row r="32" spans="1:30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6">
        <v>45143</v>
      </c>
      <c r="Y32" s="46">
        <v>45143</v>
      </c>
    </row>
    <row r="33" spans="1:25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6">
        <v>45166</v>
      </c>
      <c r="Y33" s="46">
        <v>45166</v>
      </c>
    </row>
    <row r="34" spans="1:25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6">
        <v>45162</v>
      </c>
      <c r="Y34" s="46">
        <v>45162</v>
      </c>
    </row>
    <row r="35" spans="1:25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6">
        <v>45160</v>
      </c>
      <c r="Y35" s="46">
        <v>45160</v>
      </c>
    </row>
    <row r="36" spans="1:25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6">
        <v>45179</v>
      </c>
      <c r="Y36" s="46">
        <v>45179</v>
      </c>
    </row>
    <row r="37" spans="1:25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6">
        <v>45157</v>
      </c>
      <c r="Y37" s="46">
        <v>45157</v>
      </c>
    </row>
    <row r="38" spans="1:25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6">
        <v>45143</v>
      </c>
      <c r="Y38" s="46">
        <v>45143</v>
      </c>
    </row>
    <row r="39" spans="1:25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6">
        <v>45166</v>
      </c>
      <c r="Y39" s="46">
        <v>45166</v>
      </c>
    </row>
    <row r="40" spans="1:25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6">
        <v>45162</v>
      </c>
      <c r="Y40" s="46">
        <v>45162</v>
      </c>
    </row>
  </sheetData>
  <conditionalFormatting sqref="A1:A1048576">
    <cfRule type="duplicateValues" dxfId="5" priority="7"/>
  </conditionalFormatting>
  <conditionalFormatting sqref="B1:B1048576">
    <cfRule type="duplicateValues" dxfId="4" priority="6"/>
  </conditionalFormatting>
  <conditionalFormatting sqref="A1:XFD1048576">
    <cfRule type="cellIs" dxfId="3" priority="4" operator="equal">
      <formula>-1</formula>
    </cfRule>
  </conditionalFormatting>
  <conditionalFormatting sqref="G2:X40">
    <cfRule type="cellIs" dxfId="2" priority="3" operator="equal">
      <formula>0</formula>
    </cfRule>
  </conditionalFormatting>
  <conditionalFormatting sqref="Y2:Y40">
    <cfRule type="cellIs" dxfId="1" priority="2" operator="equal">
      <formula>0</formula>
    </cfRule>
  </conditionalFormatting>
  <conditionalFormatting sqref="AC19:AC49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G14"/>
  <sheetViews>
    <sheetView zoomScaleNormal="100" workbookViewId="0">
      <selection activeCell="G5" sqref="G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7" x14ac:dyDescent="0.3">
      <c r="A1" s="4" t="s">
        <v>47</v>
      </c>
      <c r="B1" s="4" t="s">
        <v>48</v>
      </c>
      <c r="C1" s="4" t="s">
        <v>44</v>
      </c>
      <c r="E1" s="4" t="s">
        <v>177</v>
      </c>
    </row>
    <row r="2" spans="1:7" x14ac:dyDescent="0.3">
      <c r="A2" s="2"/>
      <c r="B2" s="5" t="s">
        <v>161</v>
      </c>
      <c r="C2" s="2"/>
    </row>
    <row r="3" spans="1:7" x14ac:dyDescent="0.3">
      <c r="A3" s="6">
        <v>1</v>
      </c>
      <c r="B3" s="2" t="s">
        <v>108</v>
      </c>
      <c r="C3" s="2" t="s">
        <v>45</v>
      </c>
      <c r="E3" s="1">
        <v>5</v>
      </c>
    </row>
    <row r="4" spans="1:7" x14ac:dyDescent="0.3">
      <c r="A4" s="6">
        <v>2</v>
      </c>
      <c r="B4" s="2" t="s">
        <v>46</v>
      </c>
      <c r="C4" s="2"/>
      <c r="E4" s="1">
        <v>5</v>
      </c>
    </row>
    <row r="5" spans="1:7" x14ac:dyDescent="0.3">
      <c r="A5" s="6">
        <v>3</v>
      </c>
      <c r="B5" s="2" t="s">
        <v>104</v>
      </c>
      <c r="C5" s="33" t="s">
        <v>105</v>
      </c>
      <c r="E5" s="1">
        <v>10</v>
      </c>
      <c r="F5" s="1" t="s">
        <v>178</v>
      </c>
      <c r="G5" s="1">
        <v>1473</v>
      </c>
    </row>
    <row r="6" spans="1:7" x14ac:dyDescent="0.3">
      <c r="A6" s="6">
        <v>4</v>
      </c>
      <c r="B6" s="2" t="s">
        <v>107</v>
      </c>
      <c r="C6" s="2"/>
      <c r="E6" s="1">
        <v>5</v>
      </c>
    </row>
    <row r="7" spans="1:7" x14ac:dyDescent="0.3">
      <c r="A7" s="2"/>
      <c r="B7" s="2"/>
      <c r="C7" s="2"/>
    </row>
    <row r="13" spans="1:7" x14ac:dyDescent="0.3">
      <c r="E13" s="2"/>
    </row>
    <row r="14" spans="1:7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H5" sqref="H5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165</v>
      </c>
    </row>
    <row r="2" spans="1:7" s="40" customFormat="1" ht="21" x14ac:dyDescent="0.4">
      <c r="B2" s="40" t="s">
        <v>162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163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1">
        <f>VLOOKUP($A6,Dataset!$A$1:$Y$40,MATCH(Task_2!B$5,Dataset!$A$1:$Y$1,0),0)</f>
        <v>2.7</v>
      </c>
      <c r="C6" s="11">
        <f>VLOOKUP($A6,Dataset!$A$1:$Y$40,MATCH(Task_2!C$5,Dataset!$A$1:$Y$1,0),0)</f>
        <v>7.6</v>
      </c>
      <c r="D6" s="11">
        <f>VLOOKUP($A6,Dataset!$A$1:$Y$40,MATCH(Task_2!D$5,Dataset!$A$1:$Y$1,0),0)</f>
        <v>4.2</v>
      </c>
      <c r="E6" s="11">
        <f>VLOOKUP($A6,Dataset!$A$1:$Y$40,MATCH(Task_2!E$5,Dataset!$A$1:$Y$1,0),0)</f>
        <v>8.9</v>
      </c>
      <c r="F6" s="11">
        <f>VLOOKUP($A6,Dataset!$A$1:$Y$40,MATCH(Task_2!F$5,Dataset!$A$1:$Y$1,0),0)</f>
        <v>4.2</v>
      </c>
    </row>
    <row r="7" spans="1:7" ht="14.4" x14ac:dyDescent="0.3">
      <c r="A7" s="7" t="s">
        <v>4</v>
      </c>
      <c r="B7" s="11">
        <f>VLOOKUP($A7,Dataset!$A$1:$Y$40,MATCH(Task_2!B$5,Dataset!$A$1:$Y$1,0),0)</f>
        <v>2.7</v>
      </c>
      <c r="C7" s="11">
        <f>VLOOKUP($A7,Dataset!$A$1:$Y$40,MATCH(Task_2!C$5,Dataset!$A$1:$Y$1,0),0)</f>
        <v>7.6</v>
      </c>
      <c r="D7" s="11">
        <f>VLOOKUP($A7,Dataset!$A$1:$Y$40,MATCH(Task_2!D$5,Dataset!$A$1:$Y$1,0),0)</f>
        <v>4.2</v>
      </c>
      <c r="E7" s="11">
        <f>VLOOKUP($A7,Dataset!$A$1:$Y$40,MATCH(Task_2!E$5,Dataset!$A$1:$Y$1,0),0)</f>
        <v>8.9</v>
      </c>
      <c r="F7" s="11">
        <f>VLOOKUP($A7,Dataset!$A$1:$Y$40,MATCH(Task_2!F$5,Dataset!$A$1:$Y$1,0),0)</f>
        <v>4.2</v>
      </c>
    </row>
    <row r="8" spans="1:7" ht="14.4" x14ac:dyDescent="0.3">
      <c r="A8" s="7" t="s">
        <v>7</v>
      </c>
      <c r="B8" s="11">
        <f>VLOOKUP($A8,Dataset!$A$1:$Y$40,MATCH(Task_2!B$5,Dataset!$A$1:$Y$1,0),0)</f>
        <v>3.6</v>
      </c>
      <c r="C8" s="11">
        <f>VLOOKUP($A8,Dataset!$A$1:$Y$40,MATCH(Task_2!C$5,Dataset!$A$1:$Y$1,0),0)</f>
        <v>11.1</v>
      </c>
      <c r="D8" s="11">
        <f>VLOOKUP($A8,Dataset!$A$1:$Y$40,MATCH(Task_2!D$5,Dataset!$A$1:$Y$1,0),0)</f>
        <v>5.8</v>
      </c>
      <c r="E8" s="11">
        <f>VLOOKUP($A8,Dataset!$A$1:$Y$40,MATCH(Task_2!E$5,Dataset!$A$1:$Y$1,0),0)</f>
        <v>12.2</v>
      </c>
      <c r="F8" s="11">
        <f>VLOOKUP($A8,Dataset!$A$1:$Y$40,MATCH(Task_2!F$5,Dataset!$A$1:$Y$1,0),0)</f>
        <v>5.8</v>
      </c>
    </row>
    <row r="9" spans="1:7" ht="14.4" x14ac:dyDescent="0.3">
      <c r="A9" s="7" t="s">
        <v>8</v>
      </c>
      <c r="B9" s="11">
        <f>VLOOKUP($A9,Dataset!$A$1:$Y$40,MATCH(Task_2!B$5,Dataset!$A$1:$Y$1,0),0)</f>
        <v>4.9000000000000004</v>
      </c>
      <c r="C9" s="11">
        <f>VLOOKUP($A9,Dataset!$A$1:$Y$40,MATCH(Task_2!C$5,Dataset!$A$1:$Y$1,0),0)</f>
        <v>13.3</v>
      </c>
      <c r="D9" s="11">
        <f>VLOOKUP($A9,Dataset!$A$1:$Y$40,MATCH(Task_2!D$5,Dataset!$A$1:$Y$1,0),0)</f>
        <v>8.1</v>
      </c>
      <c r="E9" s="11">
        <f>VLOOKUP($A9,Dataset!$A$1:$Y$40,MATCH(Task_2!E$5,Dataset!$A$1:$Y$1,0),0)</f>
        <v>17</v>
      </c>
      <c r="F9" s="11">
        <f>VLOOKUP($A9,Dataset!$A$1:$Y$40,MATCH(Task_2!F$5,Dataset!$A$1:$Y$1,0),0)</f>
        <v>8.1</v>
      </c>
    </row>
    <row r="10" spans="1:7" ht="14.4" x14ac:dyDescent="0.3">
      <c r="A10" s="7" t="s">
        <v>11</v>
      </c>
      <c r="B10" s="11">
        <f>VLOOKUP($A10,Dataset!$A$1:$Y$40,MATCH(Task_2!B$5,Dataset!$A$1:$Y$1,0),0)</f>
        <v>9.4</v>
      </c>
      <c r="C10" s="11">
        <f>VLOOKUP($A10,Dataset!$A$1:$Y$40,MATCH(Task_2!C$5,Dataset!$A$1:$Y$1,0),0)</f>
        <v>28.3</v>
      </c>
      <c r="D10" s="11">
        <f>VLOOKUP($A10,Dataset!$A$1:$Y$40,MATCH(Task_2!D$5,Dataset!$A$1:$Y$1,0),0)</f>
        <v>16.100000000000001</v>
      </c>
      <c r="E10" s="11">
        <f>VLOOKUP($A10,Dataset!$A$1:$Y$40,MATCH(Task_2!E$5,Dataset!$A$1:$Y$1,0),0)</f>
        <v>32.799999999999997</v>
      </c>
      <c r="F10" s="11">
        <f>VLOOKUP($A10,Dataset!$A$1:$Y$40,MATCH(Task_2!F$5,Dataset!$A$1:$Y$1,0),0)</f>
        <v>16.100000000000001</v>
      </c>
    </row>
    <row r="11" spans="1:7" ht="14.4" x14ac:dyDescent="0.3">
      <c r="A11" s="7" t="s">
        <v>12</v>
      </c>
      <c r="B11" s="11">
        <f>VLOOKUP($A11,Dataset!$A$1:$Y$40,MATCH(Task_2!B$5,Dataset!$A$1:$Y$1,0),0)</f>
        <v>11.6</v>
      </c>
      <c r="C11" s="11">
        <f>VLOOKUP($A11,Dataset!$A$1:$Y$40,MATCH(Task_2!C$5,Dataset!$A$1:$Y$1,0),0)</f>
        <v>35.200000000000003</v>
      </c>
      <c r="D11" s="11">
        <f>VLOOKUP($A11,Dataset!$A$1:$Y$40,MATCH(Task_2!D$5,Dataset!$A$1:$Y$1,0),0)</f>
        <v>21.3</v>
      </c>
      <c r="E11" s="11">
        <f>VLOOKUP($A11,Dataset!$A$1:$Y$40,MATCH(Task_2!E$5,Dataset!$A$1:$Y$1,0),0)</f>
        <v>43</v>
      </c>
      <c r="F11" s="11">
        <f>VLOOKUP($A11,Dataset!$A$1:$Y$40,MATCH(Task_2!F$5,Dataset!$A$1:$Y$1,0),0)</f>
        <v>21.3</v>
      </c>
    </row>
    <row r="12" spans="1:7" ht="14.4" x14ac:dyDescent="0.3">
      <c r="A12" s="7" t="s">
        <v>14</v>
      </c>
      <c r="B12" s="11">
        <f>VLOOKUP($A12,Dataset!$A$1:$Y$40,MATCH(Task_2!B$5,Dataset!$A$1:$Y$1,0),0)</f>
        <v>18.399999999999999</v>
      </c>
      <c r="C12" s="11">
        <f>VLOOKUP($A12,Dataset!$A$1:$Y$40,MATCH(Task_2!C$5,Dataset!$A$1:$Y$1,0),0)</f>
        <v>55.6</v>
      </c>
      <c r="D12" s="11">
        <f>VLOOKUP($A12,Dataset!$A$1:$Y$40,MATCH(Task_2!D$5,Dataset!$A$1:$Y$1,0),0)</f>
        <v>33.799999999999997</v>
      </c>
      <c r="E12" s="11">
        <f>VLOOKUP($A12,Dataset!$A$1:$Y$40,MATCH(Task_2!E$5,Dataset!$A$1:$Y$1,0),0)</f>
        <v>67.900000000000006</v>
      </c>
      <c r="F12" s="11">
        <f>VLOOKUP($A12,Dataset!$A$1:$Y$40,MATCH(Task_2!F$5,Dataset!$A$1:$Y$1,0),0)</f>
        <v>33.799999999999997</v>
      </c>
    </row>
    <row r="13" spans="1:7" ht="14.4" x14ac:dyDescent="0.3">
      <c r="A13" s="7" t="s">
        <v>15</v>
      </c>
      <c r="B13" s="11">
        <f>VLOOKUP($A13,Dataset!$A$1:$Y$40,MATCH(Task_2!B$5,Dataset!$A$1:$Y$1,0),0)</f>
        <v>0</v>
      </c>
      <c r="C13" s="11">
        <f>VLOOKUP($A13,Dataset!$A$1:$Y$40,MATCH(Task_2!C$5,Dataset!$A$1:$Y$1,0),0)</f>
        <v>0</v>
      </c>
      <c r="D13" s="11">
        <f>VLOOKUP($A13,Dataset!$A$1:$Y$40,MATCH(Task_2!D$5,Dataset!$A$1:$Y$1,0),0)</f>
        <v>0</v>
      </c>
      <c r="E13" s="11">
        <f>VLOOKUP($A13,Dataset!$A$1:$Y$40,MATCH(Task_2!E$5,Dataset!$A$1:$Y$1,0),0)</f>
        <v>0</v>
      </c>
      <c r="F13" s="11">
        <f>VLOOKUP($A13,Dataset!$A$1:$Y$40,MATCH(Task_2!F$5,Dataset!$A$1:$Y$1,0),0)</f>
        <v>0</v>
      </c>
    </row>
    <row r="14" spans="1:7" ht="14.4" x14ac:dyDescent="0.3">
      <c r="A14" s="7" t="s">
        <v>16</v>
      </c>
      <c r="B14" s="11">
        <f>VLOOKUP($A14,Dataset!$A$1:$Y$40,MATCH(Task_2!B$5,Dataset!$A$1:$Y$1,0),0)</f>
        <v>21.9</v>
      </c>
      <c r="C14" s="11">
        <f>VLOOKUP($A14,Dataset!$A$1:$Y$40,MATCH(Task_2!C$5,Dataset!$A$1:$Y$1,0),0)</f>
        <v>61.5</v>
      </c>
      <c r="D14" s="11">
        <f>VLOOKUP($A14,Dataset!$A$1:$Y$40,MATCH(Task_2!D$5,Dataset!$A$1:$Y$1,0),0)</f>
        <v>40.1</v>
      </c>
      <c r="E14" s="11">
        <f>VLOOKUP($A14,Dataset!$A$1:$Y$40,MATCH(Task_2!E$5,Dataset!$A$1:$Y$1,0),0)</f>
        <v>76.599999999999994</v>
      </c>
      <c r="F14" s="11">
        <f>VLOOKUP($A14,Dataset!$A$1:$Y$40,MATCH(Task_2!F$5,Dataset!$A$1:$Y$1,0),0)</f>
        <v>40.1</v>
      </c>
    </row>
    <row r="15" spans="1:7" ht="14.4" x14ac:dyDescent="0.3">
      <c r="A15" s="7" t="s">
        <v>18</v>
      </c>
      <c r="B15" s="11">
        <f>VLOOKUP($A15,Dataset!$A$1:$Y$40,MATCH(Task_2!B$5,Dataset!$A$1:$Y$1,0),0)</f>
        <v>26.8</v>
      </c>
      <c r="C15" s="11">
        <f>VLOOKUP($A15,Dataset!$A$1:$Y$40,MATCH(Task_2!C$5,Dataset!$A$1:$Y$1,0),0)</f>
        <v>79.599999999999994</v>
      </c>
      <c r="D15" s="11">
        <f>VLOOKUP($A15,Dataset!$A$1:$Y$40,MATCH(Task_2!D$5,Dataset!$A$1:$Y$1,0),0)</f>
        <v>47.9</v>
      </c>
      <c r="E15" s="11">
        <f>VLOOKUP($A15,Dataset!$A$1:$Y$40,MATCH(Task_2!E$5,Dataset!$A$1:$Y$1,0),0)</f>
        <v>96.8</v>
      </c>
      <c r="F15" s="11">
        <f>VLOOKUP($A15,Dataset!$A$1:$Y$40,MATCH(Task_2!F$5,Dataset!$A$1:$Y$1,0),0)</f>
        <v>47.9</v>
      </c>
    </row>
    <row r="16" spans="1:7" ht="14.4" x14ac:dyDescent="0.3">
      <c r="A16" s="7" t="s">
        <v>20</v>
      </c>
      <c r="B16" s="11">
        <f>VLOOKUP($A16,Dataset!$A$1:$Y$40,MATCH(Task_2!B$5,Dataset!$A$1:$Y$1,0),0)</f>
        <v>28.5</v>
      </c>
      <c r="C16" s="11">
        <f>VLOOKUP($A16,Dataset!$A$1:$Y$40,MATCH(Task_2!C$5,Dataset!$A$1:$Y$1,0),0)</f>
        <v>85.4</v>
      </c>
      <c r="D16" s="11">
        <f>VLOOKUP($A16,Dataset!$A$1:$Y$40,MATCH(Task_2!D$5,Dataset!$A$1:$Y$1,0),0)</f>
        <v>52.3</v>
      </c>
      <c r="E16" s="11">
        <f>VLOOKUP($A16,Dataset!$A$1:$Y$40,MATCH(Task_2!E$5,Dataset!$A$1:$Y$1,0),0)</f>
        <v>106.1</v>
      </c>
      <c r="F16" s="11">
        <f>VLOOKUP($A16,Dataset!$A$1:$Y$40,MATCH(Task_2!F$5,Dataset!$A$1:$Y$1,0),0)</f>
        <v>52.3</v>
      </c>
    </row>
    <row r="17" spans="1:6" ht="14.4" x14ac:dyDescent="0.3">
      <c r="A17" s="7" t="s">
        <v>22</v>
      </c>
      <c r="B17" s="11">
        <f>VLOOKUP($A17,Dataset!$A$1:$Y$40,MATCH(Task_2!B$5,Dataset!$A$1:$Y$1,0),0)</f>
        <v>30.7</v>
      </c>
      <c r="C17" s="11">
        <f>VLOOKUP($A17,Dataset!$A$1:$Y$40,MATCH(Task_2!C$5,Dataset!$A$1:$Y$1,0),0)</f>
        <v>92.1</v>
      </c>
      <c r="D17" s="11">
        <f>VLOOKUP($A17,Dataset!$A$1:$Y$40,MATCH(Task_2!D$5,Dataset!$A$1:$Y$1,0),0)</f>
        <v>57</v>
      </c>
      <c r="E17" s="11">
        <f>VLOOKUP($A17,Dataset!$A$1:$Y$40,MATCH(Task_2!E$5,Dataset!$A$1:$Y$1,0),0)</f>
        <v>115.1</v>
      </c>
      <c r="F17" s="11">
        <f>VLOOKUP($A17,Dataset!$A$1:$Y$40,MATCH(Task_2!F$5,Dataset!$A$1:$Y$1,0),0)</f>
        <v>57</v>
      </c>
    </row>
    <row r="18" spans="1:6" ht="14.4" x14ac:dyDescent="0.3">
      <c r="A18" s="7" t="s">
        <v>23</v>
      </c>
      <c r="B18" s="11">
        <f>VLOOKUP($A18,Dataset!$A$1:$Y$40,MATCH(Task_2!B$5,Dataset!$A$1:$Y$1,0),0)</f>
        <v>33.799999999999997</v>
      </c>
      <c r="C18" s="11">
        <f>VLOOKUP($A18,Dataset!$A$1:$Y$40,MATCH(Task_2!C$5,Dataset!$A$1:$Y$1,0),0)</f>
        <v>101.3</v>
      </c>
      <c r="D18" s="11">
        <f>VLOOKUP($A18,Dataset!$A$1:$Y$40,MATCH(Task_2!D$5,Dataset!$A$1:$Y$1,0),0)</f>
        <v>61.4</v>
      </c>
      <c r="E18" s="11">
        <f>VLOOKUP($A18,Dataset!$A$1:$Y$40,MATCH(Task_2!E$5,Dataset!$A$1:$Y$1,0),0)</f>
        <v>124.4</v>
      </c>
      <c r="F18" s="11">
        <f>VLOOKUP($A18,Dataset!$A$1:$Y$40,MATCH(Task_2!F$5,Dataset!$A$1:$Y$1,0),0)</f>
        <v>61.4</v>
      </c>
    </row>
    <row r="19" spans="1:6" ht="14.4" x14ac:dyDescent="0.3">
      <c r="A19" s="7" t="s">
        <v>24</v>
      </c>
      <c r="B19" s="11">
        <f>VLOOKUP($A19,Dataset!$A$1:$Y$40,MATCH(Task_2!B$5,Dataset!$A$1:$Y$1,0),0)</f>
        <v>34.700000000000003</v>
      </c>
      <c r="C19" s="11">
        <f>VLOOKUP($A19,Dataset!$A$1:$Y$40,MATCH(Task_2!C$5,Dataset!$A$1:$Y$1,0),0)</f>
        <v>106.1</v>
      </c>
      <c r="D19" s="11">
        <f>VLOOKUP($A19,Dataset!$A$1:$Y$40,MATCH(Task_2!D$5,Dataset!$A$1:$Y$1,0),0)</f>
        <v>63.6</v>
      </c>
      <c r="E19" s="11">
        <f>VLOOKUP($A19,Dataset!$A$1:$Y$40,MATCH(Task_2!E$5,Dataset!$A$1:$Y$1,0),0)</f>
        <v>128.6</v>
      </c>
      <c r="F19" s="11">
        <f>VLOOKUP($A19,Dataset!$A$1:$Y$40,MATCH(Task_2!F$5,Dataset!$A$1:$Y$1,0),0)</f>
        <v>63.6</v>
      </c>
    </row>
    <row r="20" spans="1:6" ht="14.4" x14ac:dyDescent="0.3">
      <c r="A20" s="7" t="s">
        <v>28</v>
      </c>
      <c r="B20" s="11">
        <f>VLOOKUP($A20,Dataset!$A$1:$Y$40,MATCH(Task_2!B$5,Dataset!$A$1:$Y$1,0),0)</f>
        <v>0</v>
      </c>
      <c r="C20" s="11">
        <f>VLOOKUP($A20,Dataset!$A$1:$Y$40,MATCH(Task_2!C$5,Dataset!$A$1:$Y$1,0),0)</f>
        <v>0</v>
      </c>
      <c r="D20" s="11">
        <f>VLOOKUP($A20,Dataset!$A$1:$Y$40,MATCH(Task_2!D$5,Dataset!$A$1:$Y$1,0),0)</f>
        <v>0</v>
      </c>
      <c r="E20" s="11">
        <f>VLOOKUP($A20,Dataset!$A$1:$Y$40,MATCH(Task_2!E$5,Dataset!$A$1:$Y$1,0),0)</f>
        <v>0</v>
      </c>
      <c r="F20" s="11">
        <f>VLOOKUP($A20,Dataset!$A$1:$Y$40,MATCH(Task_2!F$5,Dataset!$A$1:$Y$1,0),0)</f>
        <v>0</v>
      </c>
    </row>
    <row r="21" spans="1:6" ht="14.4" x14ac:dyDescent="0.3">
      <c r="A21" s="7" t="s">
        <v>57</v>
      </c>
      <c r="B21" s="11">
        <f>VLOOKUP($A21,Dataset!$A$1:$Y$40,MATCH(Task_2!B$5,Dataset!$A$1:$Y$1,0),0)</f>
        <v>41.3</v>
      </c>
      <c r="C21" s="11">
        <f>VLOOKUP($A21,Dataset!$A$1:$Y$40,MATCH(Task_2!C$5,Dataset!$A$1:$Y$1,0),0)</f>
        <v>124.4</v>
      </c>
      <c r="D21" s="11">
        <f>VLOOKUP($A21,Dataset!$A$1:$Y$40,MATCH(Task_2!D$5,Dataset!$A$1:$Y$1,0),0)</f>
        <v>75</v>
      </c>
      <c r="E21" s="11">
        <f>VLOOKUP($A21,Dataset!$A$1:$Y$40,MATCH(Task_2!E$5,Dataset!$A$1:$Y$1,0),0)</f>
        <v>151.5</v>
      </c>
      <c r="F21" s="11">
        <f>VLOOKUP($A21,Dataset!$A$1:$Y$40,MATCH(Task_2!F$5,Dataset!$A$1:$Y$1,0),0)</f>
        <v>75</v>
      </c>
    </row>
    <row r="22" spans="1:6" ht="14.4" x14ac:dyDescent="0.3">
      <c r="A22" s="7" t="s">
        <v>58</v>
      </c>
      <c r="B22" s="11">
        <f>VLOOKUP($A22,Dataset!$A$1:$Y$40,MATCH(Task_2!B$5,Dataset!$A$1:$Y$1,0),0)</f>
        <v>-1</v>
      </c>
      <c r="C22" s="11">
        <f>VLOOKUP($A22,Dataset!$A$1:$Y$40,MATCH(Task_2!C$5,Dataset!$A$1:$Y$1,0),0)</f>
        <v>-1</v>
      </c>
      <c r="D22" s="11">
        <f>VLOOKUP($A22,Dataset!$A$1:$Y$40,MATCH(Task_2!D$5,Dataset!$A$1:$Y$1,0),0)</f>
        <v>-1</v>
      </c>
      <c r="E22" s="11">
        <f>VLOOKUP($A22,Dataset!$A$1:$Y$40,MATCH(Task_2!E$5,Dataset!$A$1:$Y$1,0),0)</f>
        <v>-1</v>
      </c>
      <c r="F22" s="11">
        <f>VLOOKUP($A22,Dataset!$A$1:$Y$40,MATCH(Task_2!F$5,Dataset!$A$1:$Y$1,0),0)</f>
        <v>-1</v>
      </c>
    </row>
    <row r="23" spans="1:6" ht="14.4" x14ac:dyDescent="0.3">
      <c r="A23" s="7" t="s">
        <v>31</v>
      </c>
      <c r="B23" s="11">
        <f>VLOOKUP($A23,Dataset!$A$1:$Y$40,MATCH(Task_2!B$5,Dataset!$A$1:$Y$1,0),0)</f>
        <v>45</v>
      </c>
      <c r="C23" s="11">
        <f>VLOOKUP($A23,Dataset!$A$1:$Y$40,MATCH(Task_2!C$5,Dataset!$A$1:$Y$1,0),0)</f>
        <v>133.4</v>
      </c>
      <c r="D23" s="11">
        <f>VLOOKUP($A23,Dataset!$A$1:$Y$40,MATCH(Task_2!D$5,Dataset!$A$1:$Y$1,0),0)</f>
        <v>79.400000000000006</v>
      </c>
      <c r="E23" s="11">
        <f>VLOOKUP($A23,Dataset!$A$1:$Y$40,MATCH(Task_2!E$5,Dataset!$A$1:$Y$1,0),0)</f>
        <v>160.9</v>
      </c>
      <c r="F23" s="11">
        <f>VLOOKUP($A23,Dataset!$A$1:$Y$40,MATCH(Task_2!F$5,Dataset!$A$1:$Y$1,0),0)</f>
        <v>79.400000000000006</v>
      </c>
    </row>
    <row r="24" spans="1:6" ht="14.4" x14ac:dyDescent="0.3">
      <c r="A24" s="7" t="s">
        <v>32</v>
      </c>
      <c r="B24" s="11">
        <f>VLOOKUP($A24,Dataset!$A$1:$Y$40,MATCH(Task_2!B$5,Dataset!$A$1:$Y$1,0),0)</f>
        <v>-1</v>
      </c>
      <c r="C24" s="11">
        <f>VLOOKUP($A24,Dataset!$A$1:$Y$40,MATCH(Task_2!C$5,Dataset!$A$1:$Y$1,0),0)</f>
        <v>-1</v>
      </c>
      <c r="D24" s="11">
        <f>VLOOKUP($A24,Dataset!$A$1:$Y$40,MATCH(Task_2!D$5,Dataset!$A$1:$Y$1,0),0)</f>
        <v>-1</v>
      </c>
      <c r="E24" s="11">
        <f>VLOOKUP($A24,Dataset!$A$1:$Y$40,MATCH(Task_2!E$5,Dataset!$A$1:$Y$1,0),0)</f>
        <v>-1</v>
      </c>
      <c r="F24" s="11">
        <f>VLOOKUP($A24,Dataset!$A$1:$Y$40,MATCH(Task_2!F$5,Dataset!$A$1:$Y$1,0),0)</f>
        <v>-1</v>
      </c>
    </row>
    <row r="25" spans="1:6" ht="14.4" x14ac:dyDescent="0.3">
      <c r="A25" s="7" t="s">
        <v>34</v>
      </c>
      <c r="B25" s="11">
        <f>VLOOKUP($A25,Dataset!$A$1:$Y$40,MATCH(Task_2!B$5,Dataset!$A$1:$Y$1,0),0)</f>
        <v>43.3</v>
      </c>
      <c r="C25" s="11">
        <f>VLOOKUP($A25,Dataset!$A$1:$Y$40,MATCH(Task_2!C$5,Dataset!$A$1:$Y$1,0),0)</f>
        <v>128.6</v>
      </c>
      <c r="D25" s="11">
        <f>VLOOKUP($A25,Dataset!$A$1:$Y$40,MATCH(Task_2!D$5,Dataset!$A$1:$Y$1,0),0)</f>
        <v>79.400000000000006</v>
      </c>
      <c r="E25" s="11">
        <f>VLOOKUP($A25,Dataset!$A$1:$Y$40,MATCH(Task_2!E$5,Dataset!$A$1:$Y$1,0),0)</f>
        <v>160.9</v>
      </c>
      <c r="F25" s="11">
        <f>VLOOKUP($A25,Dataset!$A$1:$Y$40,MATCH(Task_2!F$5,Dataset!$A$1:$Y$1,0),0)</f>
        <v>79.400000000000006</v>
      </c>
    </row>
    <row r="26" spans="1:6" ht="14.4" x14ac:dyDescent="0.3">
      <c r="A26" s="7" t="s">
        <v>37</v>
      </c>
      <c r="B26" s="11">
        <f>VLOOKUP($A26,Dataset!$A$1:$Y$40,MATCH(Task_2!B$5,Dataset!$A$1:$Y$1,0),0)</f>
        <v>49.1</v>
      </c>
      <c r="C26" s="11">
        <f>VLOOKUP($A26,Dataset!$A$1:$Y$40,MATCH(Task_2!C$5,Dataset!$A$1:$Y$1,0),0)</f>
        <v>146.80000000000001</v>
      </c>
      <c r="D26" s="11">
        <f>VLOOKUP($A26,Dataset!$A$1:$Y$40,MATCH(Task_2!D$5,Dataset!$A$1:$Y$1,0),0)</f>
        <v>90.9</v>
      </c>
      <c r="E26" s="11">
        <f>VLOOKUP($A26,Dataset!$A$1:$Y$40,MATCH(Task_2!E$5,Dataset!$A$1:$Y$1,0),0)</f>
        <v>183.5</v>
      </c>
      <c r="F26" s="11">
        <f>VLOOKUP($A26,Dataset!$A$1:$Y$40,MATCH(Task_2!F$5,Dataset!$A$1:$Y$1,0),0)</f>
        <v>90.9</v>
      </c>
    </row>
    <row r="27" spans="1:6" ht="14.4" x14ac:dyDescent="0.3">
      <c r="A27" s="7" t="s">
        <v>39</v>
      </c>
      <c r="B27" s="11">
        <f>VLOOKUP($A27,Dataset!$A$1:$Y$40,MATCH(Task_2!B$5,Dataset!$A$1:$Y$1,0),0)</f>
        <v>51.8</v>
      </c>
      <c r="C27" s="11">
        <f>VLOOKUP($A27,Dataset!$A$1:$Y$40,MATCH(Task_2!C$5,Dataset!$A$1:$Y$1,0),0)</f>
        <v>156.4</v>
      </c>
      <c r="D27" s="11">
        <f>VLOOKUP($A27,Dataset!$A$1:$Y$40,MATCH(Task_2!D$5,Dataset!$A$1:$Y$1,0),0)</f>
        <v>93.1</v>
      </c>
      <c r="E27" s="11">
        <f>VLOOKUP($A27,Dataset!$A$1:$Y$40,MATCH(Task_2!E$5,Dataset!$A$1:$Y$1,0),0)</f>
        <v>188.1</v>
      </c>
      <c r="F27" s="11">
        <f>VLOOKUP($A27,Dataset!$A$1:$Y$40,MATCH(Task_2!F$5,Dataset!$A$1:$Y$1,0),0)</f>
        <v>93.1</v>
      </c>
    </row>
    <row r="28" spans="1:6" ht="14.4" x14ac:dyDescent="0.3">
      <c r="A28" s="18" t="s">
        <v>82</v>
      </c>
      <c r="B28" s="11">
        <f>MIN(B6:B27)</f>
        <v>-1</v>
      </c>
      <c r="C28" s="11">
        <f t="shared" ref="C28:F28" si="0">MIN(C6:C27)</f>
        <v>-1</v>
      </c>
      <c r="D28" s="11">
        <f t="shared" si="0"/>
        <v>-1</v>
      </c>
      <c r="E28" s="11">
        <f t="shared" si="0"/>
        <v>-1</v>
      </c>
      <c r="F28" s="11">
        <f t="shared" si="0"/>
        <v>-1</v>
      </c>
    </row>
    <row r="29" spans="1:6" ht="14.4" x14ac:dyDescent="0.3">
      <c r="A29" s="18" t="s">
        <v>83</v>
      </c>
      <c r="B29" s="11">
        <f>MAX(B6:B27)</f>
        <v>51.8</v>
      </c>
      <c r="C29" s="11">
        <f t="shared" ref="C29:F29" si="1">MAX(C6:C27)</f>
        <v>156.4</v>
      </c>
      <c r="D29" s="11">
        <f t="shared" si="1"/>
        <v>93.1</v>
      </c>
      <c r="E29" s="11">
        <f t="shared" si="1"/>
        <v>188.1</v>
      </c>
      <c r="F29" s="11">
        <f t="shared" si="1"/>
        <v>93.1</v>
      </c>
    </row>
    <row r="30" spans="1:6" ht="14.4" x14ac:dyDescent="0.3">
      <c r="A30" s="18" t="s">
        <v>84</v>
      </c>
      <c r="B30" s="11">
        <f>AVERAGE(B6:B27)</f>
        <v>20.827272727272728</v>
      </c>
      <c r="C30" s="11">
        <f t="shared" ref="C30:F30" si="2">AVERAGE(C6:C27)</f>
        <v>62.377272727272725</v>
      </c>
      <c r="D30" s="11">
        <f t="shared" si="2"/>
        <v>37.800000000000004</v>
      </c>
      <c r="E30" s="11">
        <f t="shared" si="2"/>
        <v>76.418181818181822</v>
      </c>
      <c r="F30" s="1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5" sqref="B5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175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152</v>
      </c>
    </row>
    <row r="5" spans="1:10" ht="18" x14ac:dyDescent="0.35">
      <c r="A5" s="42" t="s">
        <v>53</v>
      </c>
      <c r="B5" s="39" t="s">
        <v>179</v>
      </c>
    </row>
    <row r="6" spans="1:10" ht="18" x14ac:dyDescent="0.35">
      <c r="A6" s="42" t="s">
        <v>154</v>
      </c>
      <c r="B6" s="39"/>
    </row>
    <row r="7" spans="1:10" ht="18" x14ac:dyDescent="0.35">
      <c r="A7" s="42"/>
      <c r="B7" s="39"/>
    </row>
    <row r="9" spans="1:10" ht="23.4" x14ac:dyDescent="0.45">
      <c r="A9" s="17" t="s">
        <v>166</v>
      </c>
      <c r="I9" s="2"/>
      <c r="J9" s="2"/>
    </row>
    <row r="10" spans="1:10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8" t="s">
        <v>122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163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122</v>
      </c>
      <c r="B16" s="7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7" t="s">
        <v>123</v>
      </c>
      <c r="B17" s="7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">
      <c r="A18" s="7" t="s">
        <v>124</v>
      </c>
      <c r="B18" s="7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">
      <c r="A19" s="7" t="s">
        <v>125</v>
      </c>
      <c r="B19" s="7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7" t="s">
        <v>126</v>
      </c>
      <c r="B20" s="7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7" t="s">
        <v>127</v>
      </c>
      <c r="B21" s="7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7" t="s">
        <v>128</v>
      </c>
      <c r="B22" s="7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7" t="s">
        <v>129</v>
      </c>
      <c r="B23" s="7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7" t="s">
        <v>130</v>
      </c>
      <c r="B24" s="7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7" t="s">
        <v>131</v>
      </c>
      <c r="B25" s="7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7" t="s">
        <v>132</v>
      </c>
      <c r="B26" s="7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7" t="s">
        <v>133</v>
      </c>
      <c r="B27" s="7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7" t="s">
        <v>134</v>
      </c>
      <c r="B28" s="7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7" t="s">
        <v>135</v>
      </c>
      <c r="B29" s="7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7" t="s">
        <v>136</v>
      </c>
      <c r="B30" s="7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7" t="s">
        <v>137</v>
      </c>
      <c r="B31" s="7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7" t="s">
        <v>138</v>
      </c>
      <c r="B32" s="7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139</v>
      </c>
      <c r="B33" s="7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140</v>
      </c>
      <c r="B34" s="7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141</v>
      </c>
      <c r="B35" s="7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142</v>
      </c>
      <c r="B36" s="7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143</v>
      </c>
      <c r="B37" s="7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144</v>
      </c>
      <c r="B38" s="7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145</v>
      </c>
      <c r="B39" s="7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146</v>
      </c>
      <c r="B40" s="7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147</v>
      </c>
      <c r="B41" s="7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148</v>
      </c>
      <c r="B42" s="7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149</v>
      </c>
      <c r="B43" s="7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150</v>
      </c>
      <c r="B44" s="7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151</v>
      </c>
      <c r="B45" s="7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113</v>
      </c>
      <c r="B46" s="7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114</v>
      </c>
      <c r="B47" s="7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115</v>
      </c>
      <c r="B48" s="7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116</v>
      </c>
      <c r="B49" s="7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117</v>
      </c>
      <c r="B50" s="7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118</v>
      </c>
      <c r="B51" s="7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119</v>
      </c>
      <c r="B52" s="7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120</v>
      </c>
      <c r="B53" s="7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8" t="s">
        <v>121</v>
      </c>
      <c r="B54" s="8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H22"/>
  <sheetViews>
    <sheetView zoomScaleNormal="100" workbookViewId="0">
      <selection activeCell="B8" sqref="B8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8" ht="21" x14ac:dyDescent="0.4">
      <c r="A1" s="41" t="s">
        <v>85</v>
      </c>
      <c r="B1" s="40" t="s">
        <v>168</v>
      </c>
    </row>
    <row r="2" spans="1:8" ht="18" x14ac:dyDescent="0.35">
      <c r="B2" s="39" t="s">
        <v>167</v>
      </c>
    </row>
    <row r="5" spans="1:8" ht="14.4" x14ac:dyDescent="0.3">
      <c r="B5" s="1" t="s">
        <v>152</v>
      </c>
    </row>
    <row r="6" spans="1:8" ht="14.4" x14ac:dyDescent="0.3">
      <c r="A6" s="3" t="s">
        <v>53</v>
      </c>
      <c r="B6" s="1" t="s">
        <v>180</v>
      </c>
      <c r="C6" s="2" t="s">
        <v>181</v>
      </c>
    </row>
    <row r="7" spans="1:8" ht="14.4" x14ac:dyDescent="0.3">
      <c r="A7" s="3" t="s">
        <v>154</v>
      </c>
      <c r="B7" s="1" t="s">
        <v>182</v>
      </c>
    </row>
    <row r="9" spans="1:8" ht="14.4" x14ac:dyDescent="0.3">
      <c r="H9" s="16"/>
    </row>
    <row r="10" spans="1:8" ht="23.4" x14ac:dyDescent="0.45">
      <c r="A10" s="17" t="s">
        <v>163</v>
      </c>
    </row>
    <row r="11" spans="1:8" ht="14.4" x14ac:dyDescent="0.3">
      <c r="A11" s="31" t="s">
        <v>86</v>
      </c>
      <c r="B11" s="16" t="s">
        <v>87</v>
      </c>
      <c r="C11" s="16" t="s">
        <v>88</v>
      </c>
      <c r="D11" s="16" t="s">
        <v>88</v>
      </c>
    </row>
    <row r="12" spans="1:8" ht="14.4" x14ac:dyDescent="0.3">
      <c r="A12" s="31">
        <v>44927</v>
      </c>
      <c r="B12" s="16" t="s">
        <v>59</v>
      </c>
      <c r="C12" s="16">
        <v>200</v>
      </c>
      <c r="D12" s="2">
        <f>IFERROR(C12,20)</f>
        <v>200</v>
      </c>
    </row>
    <row r="13" spans="1:8" ht="14.4" x14ac:dyDescent="0.3">
      <c r="A13" s="31">
        <v>44928</v>
      </c>
      <c r="B13" s="16" t="s">
        <v>60</v>
      </c>
      <c r="C13" s="16" t="e">
        <v>#N/A</v>
      </c>
      <c r="D13" s="2">
        <f t="shared" ref="D13:D21" si="0">IFERROR(C13,20)</f>
        <v>20</v>
      </c>
    </row>
    <row r="14" spans="1:8" ht="14.4" x14ac:dyDescent="0.3">
      <c r="A14" s="31">
        <v>44929</v>
      </c>
      <c r="B14" s="16" t="s">
        <v>61</v>
      </c>
      <c r="C14" s="16">
        <v>50</v>
      </c>
      <c r="D14" s="2">
        <f t="shared" si="0"/>
        <v>50</v>
      </c>
    </row>
    <row r="15" spans="1:8" ht="14.4" x14ac:dyDescent="0.3">
      <c r="A15" s="31">
        <v>44930</v>
      </c>
      <c r="B15" s="16" t="s">
        <v>62</v>
      </c>
      <c r="C15" s="16" t="e">
        <v>#N/A</v>
      </c>
      <c r="D15" s="2">
        <f t="shared" si="0"/>
        <v>20</v>
      </c>
    </row>
    <row r="16" spans="1:8" ht="14.4" x14ac:dyDescent="0.3">
      <c r="A16" s="31">
        <v>44931</v>
      </c>
      <c r="B16" s="16" t="s">
        <v>63</v>
      </c>
      <c r="C16" s="16">
        <v>10</v>
      </c>
      <c r="D16" s="2">
        <f t="shared" si="0"/>
        <v>10</v>
      </c>
    </row>
    <row r="17" spans="1:4" ht="14.4" x14ac:dyDescent="0.3">
      <c r="A17" s="31">
        <v>44932</v>
      </c>
      <c r="B17" s="16" t="s">
        <v>155</v>
      </c>
      <c r="C17" s="16">
        <v>150</v>
      </c>
      <c r="D17" s="2">
        <f t="shared" si="0"/>
        <v>150</v>
      </c>
    </row>
    <row r="18" spans="1:4" ht="14.4" x14ac:dyDescent="0.3">
      <c r="A18" s="31">
        <v>44933</v>
      </c>
      <c r="B18" s="16" t="s">
        <v>156</v>
      </c>
      <c r="C18" s="16">
        <v>80</v>
      </c>
      <c r="D18" s="2">
        <f t="shared" si="0"/>
        <v>80</v>
      </c>
    </row>
    <row r="19" spans="1:4" ht="14.4" x14ac:dyDescent="0.3">
      <c r="A19" s="31">
        <v>44934</v>
      </c>
      <c r="B19" s="16" t="s">
        <v>157</v>
      </c>
      <c r="C19" s="16" t="e">
        <v>#N/A</v>
      </c>
      <c r="D19" s="2">
        <f t="shared" si="0"/>
        <v>20</v>
      </c>
    </row>
    <row r="20" spans="1:4" ht="14.4" x14ac:dyDescent="0.3">
      <c r="A20" s="31">
        <v>44935</v>
      </c>
      <c r="B20" s="16" t="s">
        <v>158</v>
      </c>
      <c r="C20" s="16">
        <v>30</v>
      </c>
      <c r="D20" s="2">
        <f t="shared" si="0"/>
        <v>30</v>
      </c>
    </row>
    <row r="21" spans="1:4" ht="14.4" x14ac:dyDescent="0.3">
      <c r="A21" s="31">
        <v>44936</v>
      </c>
      <c r="B21" s="16" t="s">
        <v>159</v>
      </c>
      <c r="C21" s="16" t="e">
        <v>#N/A</v>
      </c>
      <c r="D21" s="2">
        <f t="shared" si="0"/>
        <v>20</v>
      </c>
    </row>
    <row r="22" spans="1:4" ht="14.4" x14ac:dyDescent="0.3">
      <c r="B22" s="16" t="s">
        <v>160</v>
      </c>
      <c r="C22" s="24"/>
      <c r="D22" s="24">
        <f>SUM(D12:D21)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2" zoomScaleNormal="100" workbookViewId="0">
      <selection activeCell="B6" sqref="B6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176</v>
      </c>
    </row>
    <row r="3" spans="1:14" ht="14.4" x14ac:dyDescent="0.3">
      <c r="B3" s="1" t="s">
        <v>152</v>
      </c>
    </row>
    <row r="4" spans="1:14" ht="18" x14ac:dyDescent="0.35">
      <c r="A4" s="42" t="s">
        <v>53</v>
      </c>
      <c r="B4" s="1"/>
      <c r="C4" s="2" t="s">
        <v>183</v>
      </c>
    </row>
    <row r="5" spans="1:14" ht="18" x14ac:dyDescent="0.35">
      <c r="A5" s="42" t="s">
        <v>154</v>
      </c>
      <c r="B5" s="1" t="s">
        <v>184</v>
      </c>
    </row>
    <row r="6" spans="1:14" ht="14.4" x14ac:dyDescent="0.3">
      <c r="A6" s="3"/>
      <c r="B6" s="1" t="s">
        <v>185</v>
      </c>
    </row>
    <row r="8" spans="1:14" ht="23.4" x14ac:dyDescent="0.45">
      <c r="A8" s="17" t="s">
        <v>163</v>
      </c>
      <c r="M8" s="17" t="s">
        <v>164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169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3">
        <f>INDEX($A$9:$J$18,MATCH(VLOOKUP($A23,$M$9:$N$18,2,0),$A$9:$A$18,0),MATCH(VLOOKUP($B23,$M$9:$N$18,2,0),$A$9:$J$9,0))</f>
        <v>95</v>
      </c>
    </row>
    <row r="24" spans="1:14" ht="14.4" x14ac:dyDescent="0.3">
      <c r="A24" s="7">
        <v>10100</v>
      </c>
      <c r="B24" s="11">
        <v>10104</v>
      </c>
      <c r="C24" s="43">
        <f t="shared" ref="C24:C35" si="0">INDEX($A$9:$J$18,MATCH(VLOOKUP($A24,$M$9:$N$18,2,0),$A$9:$A$18,0),MATCH(VLOOKUP($B24,$M$9:$N$18,2,0),$A$9:$J$9,0))</f>
        <v>-1</v>
      </c>
    </row>
    <row r="25" spans="1:14" ht="14.4" x14ac:dyDescent="0.3">
      <c r="A25" s="7">
        <v>10108</v>
      </c>
      <c r="B25" s="11">
        <v>10102</v>
      </c>
      <c r="C25" s="43">
        <f t="shared" si="0"/>
        <v>160</v>
      </c>
    </row>
    <row r="26" spans="1:14" ht="14.4" x14ac:dyDescent="0.3">
      <c r="A26" s="7">
        <v>10100</v>
      </c>
      <c r="B26" s="11">
        <v>10106</v>
      </c>
      <c r="C26" s="43">
        <f t="shared" si="0"/>
        <v>185</v>
      </c>
    </row>
    <row r="27" spans="1:14" ht="14.4" x14ac:dyDescent="0.3">
      <c r="A27" s="7">
        <v>10108</v>
      </c>
      <c r="B27" s="11">
        <v>10110</v>
      </c>
      <c r="C27" s="43">
        <f t="shared" si="0"/>
        <v>50</v>
      </c>
    </row>
    <row r="28" spans="1:14" ht="14.4" x14ac:dyDescent="0.3">
      <c r="A28" s="7">
        <v>10102</v>
      </c>
      <c r="B28" s="11">
        <v>10104</v>
      </c>
      <c r="C28" s="43">
        <f t="shared" si="0"/>
        <v>-1</v>
      </c>
    </row>
    <row r="29" spans="1:14" ht="14.4" x14ac:dyDescent="0.3">
      <c r="A29" s="7">
        <v>10106</v>
      </c>
      <c r="B29" s="11">
        <v>10108</v>
      </c>
      <c r="C29" s="43">
        <f t="shared" si="0"/>
        <v>70</v>
      </c>
    </row>
    <row r="30" spans="1:14" ht="14.4" x14ac:dyDescent="0.3">
      <c r="A30" s="7">
        <v>10102</v>
      </c>
      <c r="B30" s="11">
        <v>10106</v>
      </c>
      <c r="C30" s="43">
        <f t="shared" si="0"/>
        <v>90</v>
      </c>
    </row>
    <row r="31" spans="1:14" ht="14.4" x14ac:dyDescent="0.3">
      <c r="A31" s="7">
        <v>10110</v>
      </c>
      <c r="B31" s="11">
        <v>10114</v>
      </c>
      <c r="C31" s="43">
        <f t="shared" si="0"/>
        <v>180</v>
      </c>
    </row>
    <row r="32" spans="1:14" ht="14.4" x14ac:dyDescent="0.3">
      <c r="A32" s="7">
        <v>10104</v>
      </c>
      <c r="B32" s="11">
        <v>10106</v>
      </c>
      <c r="C32" s="43">
        <f t="shared" si="0"/>
        <v>60</v>
      </c>
    </row>
    <row r="33" spans="1:3" ht="14.4" x14ac:dyDescent="0.3">
      <c r="A33" s="7">
        <v>10110</v>
      </c>
      <c r="B33" s="11">
        <v>10112</v>
      </c>
      <c r="C33" s="43">
        <f t="shared" si="0"/>
        <v>115</v>
      </c>
    </row>
    <row r="34" spans="1:3" ht="14.4" x14ac:dyDescent="0.3">
      <c r="A34" s="7">
        <v>10100</v>
      </c>
      <c r="B34" s="11">
        <v>10114</v>
      </c>
      <c r="C34" s="43">
        <f t="shared" si="0"/>
        <v>480</v>
      </c>
    </row>
    <row r="35" spans="1:3" ht="14.4" x14ac:dyDescent="0.3">
      <c r="A35" s="8">
        <v>10112</v>
      </c>
      <c r="B35" s="12">
        <v>10116</v>
      </c>
      <c r="C35" s="43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Arya Vishal</cp:lastModifiedBy>
  <dcterms:created xsi:type="dcterms:W3CDTF">2015-02-10T17:33:11Z</dcterms:created>
  <dcterms:modified xsi:type="dcterms:W3CDTF">2023-12-10T18:30:17Z</dcterms:modified>
</cp:coreProperties>
</file>